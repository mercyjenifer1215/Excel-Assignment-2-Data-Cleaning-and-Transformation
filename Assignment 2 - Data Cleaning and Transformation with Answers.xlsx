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Dataset" sheetId="2" r:id="rId1"/>
  </sheets>
  <definedNames>
    <definedName name="_xlnm._FilterDatabase" localSheetId="0" hidden="1">Dataset!$E$1:$E$1000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B2" i="2"/>
  <c r="L49" i="2" s="1"/>
  <c r="B7" i="2"/>
  <c r="C7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L42" i="2"/>
  <c r="L37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L35" i="2"/>
  <c r="B3" i="2"/>
  <c r="C3" i="2" s="1"/>
  <c r="B4" i="2"/>
  <c r="C4" i="2" s="1"/>
  <c r="B5" i="2"/>
  <c r="B6" i="2"/>
  <c r="C6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L19" i="2"/>
  <c r="L15" i="2"/>
  <c r="L9" i="2"/>
  <c r="L5" i="2"/>
  <c r="H36" i="2"/>
  <c r="C2" i="2" l="1"/>
</calcChain>
</file>

<file path=xl/sharedStrings.xml><?xml version="1.0" encoding="utf-8"?>
<sst xmlns="http://schemas.openxmlformats.org/spreadsheetml/2006/main" count="172" uniqueCount="132">
  <si>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</si>
  <si>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</si>
  <si>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</si>
  <si>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</si>
  <si>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</si>
  <si>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</si>
  <si>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</si>
  <si>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</si>
  <si>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</si>
  <si>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</si>
  <si>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</si>
  <si>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</si>
  <si>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</si>
  <si>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</si>
  <si>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</si>
  <si>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</si>
  <si>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</si>
  <si>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</si>
  <si>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</si>
  <si>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</si>
  <si>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</si>
  <si>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</si>
  <si>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</si>
  <si>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</si>
  <si>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</si>
  <si>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</si>
  <si>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</si>
  <si>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</si>
  <si>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</si>
  <si>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</si>
  <si>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</si>
  <si>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</si>
  <si>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</si>
  <si>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</si>
  <si>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</si>
  <si>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</si>
  <si>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</si>
  <si>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</si>
  <si>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</si>
  <si>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</si>
  <si>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</si>
  <si>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</si>
  <si>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</si>
  <si>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</si>
  <si>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</si>
  <si>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</si>
  <si>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</si>
  <si>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</si>
  <si>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</si>
  <si>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</si>
  <si>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</si>
  <si>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</si>
  <si>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</si>
  <si>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</si>
  <si>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</si>
  <si>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</si>
  <si>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</si>
  <si>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</si>
  <si>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</si>
  <si>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</si>
  <si>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</si>
  <si>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</si>
  <si>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</si>
  <si>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</si>
  <si>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</si>
  <si>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</si>
  <si>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</si>
  <si>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</si>
  <si>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</si>
  <si>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</si>
  <si>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</si>
  <si>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</si>
  <si>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</si>
  <si>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</si>
  <si>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</si>
  <si>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</si>
  <si>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</si>
  <si>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</si>
  <si>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</si>
  <si>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</si>
  <si>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</si>
  <si>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</si>
  <si>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</si>
  <si>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</si>
  <si>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</si>
  <si>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</si>
  <si>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</si>
  <si>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</si>
  <si>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</si>
  <si>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</si>
  <si>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</si>
  <si>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</si>
  <si>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Basic Data Exploration</t>
  </si>
  <si>
    <t>Formulas I used</t>
  </si>
  <si>
    <t>RIGHT(A2,2)</t>
  </si>
  <si>
    <t>1. Handling Missing Values:</t>
  </si>
  <si>
    <t>Check for missing values in the 'Price' column. How would you handle products with missing price information?</t>
  </si>
  <si>
    <t>IF(OR(ISBLANK(E2),E2=0),AVERAGE(E2:E35),E2)</t>
  </si>
  <si>
    <t>IF(OR(ISBLANK(G2),G2=""),"Unknown",G2)</t>
  </si>
  <si>
    <t>Unknown</t>
  </si>
  <si>
    <t>If there are products with missing categories, propose a strategy to impute or deal with these missing values effectively.</t>
  </si>
  <si>
    <t>2. Correcting Inconsistent Data:</t>
  </si>
  <si>
    <t>Identify any inconsistent text formats present in the "Product Name" column.</t>
  </si>
  <si>
    <t>PROPER(TRIM(C2))</t>
  </si>
  <si>
    <t>Identify any typos present in the "Category" column.</t>
  </si>
  <si>
    <t>T-Shirt</t>
  </si>
  <si>
    <t>PROPER(TRIM(G2))</t>
  </si>
  <si>
    <t>Use the find and replace function to standardize the text formats in the "Product</t>
  </si>
  <si>
    <t>Ctrl + H (Find &amp; Replace)</t>
  </si>
  <si>
    <t>3. Removing Duplicates:</t>
  </si>
  <si>
    <t>Identify any duplicate rows within the dataset based on the entirety of each row, and remove them if any.</t>
  </si>
  <si>
    <t>Duplicates removed in all rows and columns</t>
  </si>
  <si>
    <t>4. Splitting and Merging Data:</t>
  </si>
  <si>
    <t>Split the "Product ID" column into two separate columns for " Manufacturing Date" and "Country Code". Remove unnecessary characters, if any.</t>
  </si>
  <si>
    <t>Manufacturing Date</t>
  </si>
  <si>
    <t>LEFT(A2,6)</t>
  </si>
  <si>
    <t>Country Code</t>
  </si>
  <si>
    <t>Merge the "Brand Name" and "Product Name" columns into one column named Product Brand.</t>
  </si>
  <si>
    <t>Product Brand</t>
  </si>
  <si>
    <t>D2&amp;" "&amp;E2</t>
  </si>
  <si>
    <t>5. Number Formatting:</t>
  </si>
  <si>
    <t>Format the data type of the "Price" column to a currency format.</t>
  </si>
  <si>
    <r>
      <t xml:space="preserve">Select </t>
    </r>
    <r>
      <rPr>
        <b/>
        <sz val="10"/>
        <color rgb="FF000000"/>
        <rFont val="Arial"/>
        <family val="2"/>
        <scheme val="minor"/>
      </rPr>
      <t>Currency ($)</t>
    </r>
    <r>
      <rPr>
        <sz val="10"/>
        <color rgb="FF000000"/>
        <rFont val="Arial"/>
        <family val="2"/>
        <scheme val="minor"/>
      </rPr>
      <t>.</t>
    </r>
  </si>
  <si>
    <r>
      <t xml:space="preserve">Selected </t>
    </r>
    <r>
      <rPr>
        <b/>
        <sz val="10"/>
        <color rgb="FF000000"/>
        <rFont val="Arial"/>
        <family val="2"/>
        <scheme val="minor"/>
      </rPr>
      <t>Currency ($)</t>
    </r>
    <r>
      <rPr>
        <sz val="10"/>
        <color rgb="FF000000"/>
        <rFont val="Arial"/>
        <family val="2"/>
        <scheme val="minor"/>
      </rPr>
      <t>.</t>
    </r>
  </si>
  <si>
    <t>Format the "Manufacturing Date" column to display dates in the "DD-MM-YYYY " format.</t>
  </si>
  <si>
    <t>DATEVALUE(B2&amp;"-2026")</t>
  </si>
  <si>
    <t>Date - More format - Select date - OK</t>
  </si>
  <si>
    <t>6. Conditional Formatting:</t>
  </si>
  <si>
    <t>Apply data bar or color scales conditional formatting in the "Price" column. ● Create a custom rule for conditional formatting in the "Category" column to highlight cells where the category is "Electronics."</t>
  </si>
  <si>
    <t>Given in column I</t>
  </si>
  <si>
    <t>Given in column K</t>
  </si>
  <si>
    <t>Manufacturing 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</si>
</sst>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_ &quot;₹&quot;* #,##0.00_ ;_ &quot;₹&quot;* \-#,##0.00_ ;_ &quot;₹&quot;* &quot;-&quot;??_ ;_ @_ "/>
    <numFmt numFmtId="175" formatCode="_([$$-409]* #,##0.00_);_([$$-409]* \(#,##0.00\);_([$$-409]* &quot;-&quot;??_);_(@_)"/>
    <numFmt numFmtId="177" formatCode="[$-14009]dd\-mm\-yyyy;@"/>
    <numFmt numFmtId="178" formatCode="[$-14009]dd\-mm\-yy;@"/>
  </numFmts>
  <fonts count="10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  <scheme val="minor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4" fillId="0" borderId="0" applyFont="0" applyFill="0" applyBorder="0" applyAlignment="0" applyProtection="0">
      <alignment vertical="center"/>
    </xf>
  </cellStyleXfs>
  <cellXfs count="5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0" xfId="0" applyFont="1" applyAlignment="1"/>
    <xf numFmtId="0" fontId="3" fillId="0" borderId="0" xfId="0" applyFont="1" applyAlignment="1"/>
    <xf numFmtId="0" fontId="8" fillId="0" borderId="3" xfId="0" applyFont="1" applyBorder="1" applyAlignment="1"/>
    <xf numFmtId="0" fontId="0" fillId="0" borderId="4" xfId="0" applyFont="1" applyBorder="1" applyAlignment="1"/>
    <xf numFmtId="165" fontId="0" fillId="0" borderId="5" xfId="1" applyFont="1" applyBorder="1" applyAlignment="1"/>
    <xf numFmtId="0" fontId="9" fillId="5" borderId="6" xfId="0" applyFont="1" applyFill="1" applyBorder="1" applyAlignment="1"/>
    <xf numFmtId="0" fontId="0" fillId="0" borderId="5" xfId="0" applyFont="1" applyBorder="1" applyAlignment="1"/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65" fontId="9" fillId="0" borderId="5" xfId="1" applyFont="1" applyBorder="1" applyAlignment="1"/>
    <xf numFmtId="0" fontId="9" fillId="0" borderId="5" xfId="0" applyFont="1" applyBorder="1" applyAlignment="1"/>
    <xf numFmtId="0" fontId="0" fillId="0" borderId="6" xfId="0" applyFont="1" applyBorder="1" applyAlignment="1"/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0" fillId="5" borderId="6" xfId="0" applyFont="1" applyFill="1" applyBorder="1" applyAlignment="1">
      <alignment vertical="center" wrapText="1"/>
    </xf>
    <xf numFmtId="0" fontId="9" fillId="0" borderId="3" xfId="0" applyFont="1" applyBorder="1" applyAlignment="1"/>
    <xf numFmtId="0" fontId="0" fillId="0" borderId="3" xfId="0" applyFont="1" applyBorder="1" applyAlignment="1"/>
    <xf numFmtId="0" fontId="0" fillId="5" borderId="6" xfId="0" applyFont="1" applyFill="1" applyBorder="1" applyAlignment="1"/>
    <xf numFmtId="0" fontId="2" fillId="0" borderId="4" xfId="0" applyFont="1" applyBorder="1" applyAlignment="1">
      <alignment horizontal="center" wrapText="1"/>
    </xf>
    <xf numFmtId="2" fontId="0" fillId="0" borderId="5" xfId="1" applyNumberFormat="1" applyFont="1" applyBorder="1" applyAlignment="1"/>
    <xf numFmtId="0" fontId="0" fillId="0" borderId="4" xfId="0" applyFont="1" applyBorder="1" applyAlignment="1">
      <alignment horizontal="center" wrapText="1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9" fillId="0" borderId="0" xfId="0" applyFont="1" applyAlignment="1"/>
    <xf numFmtId="0" fontId="6" fillId="2" borderId="0" xfId="0" applyFont="1" applyFill="1" applyAlignment="1">
      <alignment horizontal="center" wrapText="1"/>
    </xf>
    <xf numFmtId="175" fontId="2" fillId="0" borderId="0" xfId="1" applyNumberFormat="1" applyFont="1" applyAlignment="1"/>
    <xf numFmtId="175" fontId="2" fillId="3" borderId="0" xfId="1" applyNumberFormat="1" applyFont="1" applyFill="1" applyAlignment="1"/>
    <xf numFmtId="177" fontId="9" fillId="0" borderId="0" xfId="0" applyNumberFormat="1" applyFont="1" applyAlignment="1"/>
    <xf numFmtId="178" fontId="6" fillId="2" borderId="0" xfId="0" applyNumberFormat="1" applyFont="1" applyFill="1" applyAlignment="1">
      <alignment horizontal="center" wrapText="1"/>
    </xf>
    <xf numFmtId="178" fontId="9" fillId="0" borderId="0" xfId="0" applyNumberFormat="1" applyFont="1" applyAlignment="1"/>
    <xf numFmtId="178" fontId="0" fillId="0" borderId="0" xfId="0" applyNumberFormat="1" applyFont="1" applyAlignment="1"/>
    <xf numFmtId="0" fontId="5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9" fillId="5" borderId="4" xfId="0" applyFont="1" applyFill="1" applyBorder="1" applyAlignment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77" fontId="9" fillId="0" borderId="3" xfId="0" applyNumberFormat="1" applyFont="1" applyBorder="1" applyAlignment="1"/>
    <xf numFmtId="0" fontId="9" fillId="0" borderId="4" xfId="0" applyFont="1" applyBorder="1" applyAlignment="1"/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0" fillId="0" borderId="0" xfId="0" applyFont="1" applyBorder="1" applyAlignment="1"/>
  </cellXfs>
  <cellStyles count="2">
    <cellStyle name="Currency" xfId="1" builtinId="4"/>
    <cellStyle name="Normal" xfId="0" builtinId="0"/>
  </cellStyles>
  <dxfs count="31"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5" formatCode="_([$$-409]* #,##0.00_);_([$$-409]* \(#,##0.00\);_([$$-409]* &quot;-&quot;??_);_(@_)"/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77" formatCode="[$-14009]dd\-mm\-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178" formatCode="[$-14009]dd\-mm\-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2" totalsRowShown="0" headerRowDxfId="2">
  <tableColumns count="10">
    <tableColumn id="1" name="Product ID" dataDxfId="12"/>
    <tableColumn id="2" name="Manufacturing Date" dataDxfId="11">
      <calculatedColumnFormula>LEFT(A2,6)</calculatedColumnFormula>
    </tableColumn>
    <tableColumn id="3" name="Manufacturing Date2" dataDxfId="10">
      <calculatedColumnFormula>DATEVALUE(B2&amp;"-2026")</calculatedColumnFormula>
    </tableColumn>
    <tableColumn id="4" name="Country Code" dataDxfId="9">
      <calculatedColumnFormula>RIGHT(A2,2)</calculatedColumnFormula>
    </tableColumn>
    <tableColumn id="5" name="Product Name" dataDxfId="8"/>
    <tableColumn id="6" name="Brand Name" dataDxfId="7"/>
    <tableColumn id="7" name="Product Brand" dataDxfId="6">
      <calculatedColumnFormula>E2&amp;" "&amp;F2</calculatedColumnFormula>
    </tableColumn>
    <tableColumn id="9" name="Price ($)" dataDxfId="5" dataCellStyle="Currency"/>
    <tableColumn id="10" name="Quantity" dataDxfId="4"/>
    <tableColumn id="11" name="Categor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000"/>
  <sheetViews>
    <sheetView tabSelected="1" workbookViewId="0">
      <selection activeCell="A39" sqref="A39"/>
    </sheetView>
  </sheetViews>
  <sheetFormatPr defaultColWidth="12.5703125" defaultRowHeight="15" customHeight="1"/>
  <cols>
    <col min="1" max="1" width="11" customWidth="1"/>
    <col min="2" max="2" width="9.7109375" style="38" customWidth="1"/>
    <col min="3" max="3" width="10.7109375" style="38" customWidth="1"/>
    <col min="4" max="4" width="7.85546875" customWidth="1"/>
    <col min="5" max="5" width="15" customWidth="1"/>
    <col min="6" max="6" width="13.42578125" customWidth="1"/>
    <col min="7" max="7" width="22.85546875" customWidth="1"/>
    <col min="8" max="8" width="12.5703125" customWidth="1"/>
    <col min="9" max="9" width="8.28515625" customWidth="1"/>
    <col min="10" max="10" width="10.140625" customWidth="1"/>
    <col min="11" max="11" width="1.5703125" customWidth="1"/>
    <col min="12" max="12" width="20.42578125" customWidth="1"/>
    <col min="13" max="13" width="43.85546875" customWidth="1"/>
  </cols>
  <sheetData>
    <row r="1" spans="1:20" ht="39" customHeight="1">
      <c r="A1" s="1" t="s">
        <v>0</v>
      </c>
      <c r="B1" s="36" t="s">
        <v>114</v>
      </c>
      <c r="C1" s="36" t="s">
        <v>131</v>
      </c>
      <c r="D1" s="32" t="s">
        <v>116</v>
      </c>
      <c r="E1" s="1" t="s">
        <v>1</v>
      </c>
      <c r="F1" s="1" t="s">
        <v>2</v>
      </c>
      <c r="G1" s="32" t="s">
        <v>118</v>
      </c>
      <c r="H1" s="1" t="s">
        <v>3</v>
      </c>
      <c r="I1" s="1" t="s">
        <v>4</v>
      </c>
      <c r="J1" s="1" t="s">
        <v>5</v>
      </c>
      <c r="L1" s="39" t="s">
        <v>92</v>
      </c>
      <c r="M1" s="40" t="s">
        <v>93</v>
      </c>
    </row>
    <row r="2" spans="1:20" ht="15.75" customHeight="1">
      <c r="A2" s="2" t="s">
        <v>6</v>
      </c>
      <c r="B2" s="37" t="str">
        <f>LEFT(A2,6)</f>
        <v>28-JAN</v>
      </c>
      <c r="C2" s="35">
        <f>DATEVALUE(B2&amp;"-2026")</f>
        <v>46050</v>
      </c>
      <c r="D2" s="31" t="str">
        <f>RIGHT(A2,2)</f>
        <v>US</v>
      </c>
      <c r="E2" s="2" t="s">
        <v>38</v>
      </c>
      <c r="F2" s="2" t="s">
        <v>7</v>
      </c>
      <c r="G2" s="31" t="str">
        <f>E2&amp;" "&amp;F2</f>
        <v>Laptop Dell</v>
      </c>
      <c r="H2" s="33">
        <v>1000</v>
      </c>
      <c r="I2" s="2">
        <v>30</v>
      </c>
      <c r="J2" s="2" t="s">
        <v>8</v>
      </c>
      <c r="L2" s="11" t="s">
        <v>95</v>
      </c>
      <c r="M2" s="12"/>
    </row>
    <row r="3" spans="1:20" ht="17.25" customHeight="1">
      <c r="A3" s="3" t="s">
        <v>9</v>
      </c>
      <c r="B3" s="37" t="str">
        <f t="shared" ref="B3:B32" si="0">LEFT(A3,6)</f>
        <v>15-FEB</v>
      </c>
      <c r="C3" s="35">
        <f t="shared" ref="C3:C32" si="1">DATEVALUE(B3&amp;"-2026")</f>
        <v>46068</v>
      </c>
      <c r="D3" s="31" t="str">
        <f t="shared" ref="D3:D32" si="2">RIGHT(A3,2)</f>
        <v>US</v>
      </c>
      <c r="E3" s="3" t="s">
        <v>10</v>
      </c>
      <c r="F3" s="3" t="s">
        <v>11</v>
      </c>
      <c r="G3" s="31" t="str">
        <f t="shared" ref="G3:G32" si="3">E3&amp;" "&amp;F3</f>
        <v>Sneakers Nike</v>
      </c>
      <c r="H3" s="34">
        <v>80</v>
      </c>
      <c r="I3" s="3">
        <v>15</v>
      </c>
      <c r="J3" s="3" t="s">
        <v>12</v>
      </c>
      <c r="L3" s="41" t="s">
        <v>96</v>
      </c>
      <c r="M3" s="24"/>
      <c r="O3" s="4"/>
      <c r="P3" s="4"/>
      <c r="Q3" s="4"/>
      <c r="R3" s="4"/>
      <c r="S3" s="4"/>
      <c r="T3" s="4"/>
    </row>
    <row r="4" spans="1:20" ht="15" customHeight="1">
      <c r="A4" s="2" t="s">
        <v>13</v>
      </c>
      <c r="B4" s="37" t="str">
        <f t="shared" si="0"/>
        <v>03-MAR</v>
      </c>
      <c r="C4" s="35">
        <f t="shared" si="1"/>
        <v>46084</v>
      </c>
      <c r="D4" s="31" t="str">
        <f t="shared" si="2"/>
        <v>US</v>
      </c>
      <c r="E4" s="2" t="s">
        <v>14</v>
      </c>
      <c r="F4" s="2" t="s">
        <v>15</v>
      </c>
      <c r="G4" s="31" t="str">
        <f t="shared" si="3"/>
        <v>Coffee Maker Keurig</v>
      </c>
      <c r="H4" s="33">
        <v>130</v>
      </c>
      <c r="I4" s="2">
        <v>40</v>
      </c>
      <c r="J4" s="2" t="s">
        <v>16</v>
      </c>
      <c r="L4" s="41"/>
      <c r="M4" s="24"/>
      <c r="N4" s="5"/>
      <c r="O4" s="4"/>
      <c r="P4" s="4"/>
      <c r="Q4" s="4"/>
      <c r="R4" s="4"/>
      <c r="S4" s="4"/>
      <c r="T4" s="4"/>
    </row>
    <row r="5" spans="1:20" ht="15.75" customHeight="1">
      <c r="A5" s="3" t="s">
        <v>17</v>
      </c>
      <c r="B5" s="37" t="str">
        <f t="shared" si="0"/>
        <v>11-APR</v>
      </c>
      <c r="C5" s="35">
        <f t="shared" si="1"/>
        <v>46123</v>
      </c>
      <c r="D5" s="31" t="str">
        <f t="shared" si="2"/>
        <v>US</v>
      </c>
      <c r="E5" s="3" t="s">
        <v>72</v>
      </c>
      <c r="F5" s="3" t="s">
        <v>18</v>
      </c>
      <c r="G5" s="31" t="str">
        <f t="shared" si="3"/>
        <v>Smartphone Samsung</v>
      </c>
      <c r="H5" s="34">
        <v>900</v>
      </c>
      <c r="I5" s="3">
        <v>25</v>
      </c>
      <c r="J5" s="3" t="s">
        <v>8</v>
      </c>
      <c r="L5" s="25">
        <f>IF(OR(ISBLANK(H2),H2=0),AVERAGE(H2:H35),H2)</f>
        <v>1000</v>
      </c>
      <c r="M5" s="9" t="s">
        <v>97</v>
      </c>
      <c r="N5" s="5"/>
      <c r="O5" s="4"/>
      <c r="P5" s="4"/>
      <c r="Q5" s="4"/>
      <c r="R5" s="4"/>
      <c r="S5" s="4"/>
      <c r="T5" s="4"/>
    </row>
    <row r="6" spans="1:20" ht="15.75" customHeight="1">
      <c r="A6" s="2" t="s">
        <v>19</v>
      </c>
      <c r="B6" s="37" t="str">
        <f t="shared" si="0"/>
        <v>22-MAY</v>
      </c>
      <c r="C6" s="35">
        <f t="shared" si="1"/>
        <v>46164</v>
      </c>
      <c r="D6" s="31" t="str">
        <f t="shared" si="2"/>
        <v>US</v>
      </c>
      <c r="E6" s="2" t="s">
        <v>20</v>
      </c>
      <c r="F6" s="2" t="s">
        <v>21</v>
      </c>
      <c r="G6" s="31" t="str">
        <f t="shared" si="3"/>
        <v>Backpack North Face</v>
      </c>
      <c r="H6" s="33">
        <v>70</v>
      </c>
      <c r="I6" s="2">
        <v>20</v>
      </c>
      <c r="J6" s="2" t="s">
        <v>99</v>
      </c>
    </row>
    <row r="7" spans="1:20" ht="15.75" customHeight="1">
      <c r="A7" s="3" t="s">
        <v>22</v>
      </c>
      <c r="B7" s="37" t="str">
        <f>LEFT(A7,6)</f>
        <v>07-JUN</v>
      </c>
      <c r="C7" s="35">
        <f t="shared" si="1"/>
        <v>46180</v>
      </c>
      <c r="D7" s="31" t="str">
        <f t="shared" si="2"/>
        <v>UK</v>
      </c>
      <c r="E7" s="3" t="s">
        <v>23</v>
      </c>
      <c r="F7" s="3" t="s">
        <v>24</v>
      </c>
      <c r="G7" s="31" t="str">
        <f t="shared" si="3"/>
        <v>Headphones Sony</v>
      </c>
      <c r="H7" s="34">
        <v>285.90203106332137</v>
      </c>
      <c r="I7" s="3">
        <v>45</v>
      </c>
      <c r="J7" s="3" t="s">
        <v>8</v>
      </c>
      <c r="L7" s="42" t="s">
        <v>100</v>
      </c>
      <c r="M7" s="43"/>
    </row>
    <row r="8" spans="1:20" ht="15.75" customHeight="1">
      <c r="A8" s="2" t="s">
        <v>25</v>
      </c>
      <c r="B8" s="37" t="str">
        <f t="shared" si="0"/>
        <v>19-JUL</v>
      </c>
      <c r="C8" s="35">
        <f t="shared" si="1"/>
        <v>46222</v>
      </c>
      <c r="D8" s="31" t="str">
        <f t="shared" si="2"/>
        <v>UK</v>
      </c>
      <c r="E8" s="2" t="s">
        <v>105</v>
      </c>
      <c r="F8" s="2" t="s">
        <v>26</v>
      </c>
      <c r="G8" s="31" t="str">
        <f t="shared" si="3"/>
        <v>T-Shirt Adidas</v>
      </c>
      <c r="H8" s="33">
        <v>30</v>
      </c>
      <c r="I8" s="2">
        <v>5</v>
      </c>
      <c r="J8" s="2" t="s">
        <v>12</v>
      </c>
      <c r="L8" s="44"/>
      <c r="M8" s="26"/>
    </row>
    <row r="9" spans="1:20" ht="15.75" customHeight="1">
      <c r="A9" s="3" t="s">
        <v>27</v>
      </c>
      <c r="B9" s="37" t="str">
        <f t="shared" si="0"/>
        <v>23-AUG</v>
      </c>
      <c r="C9" s="35">
        <f t="shared" si="1"/>
        <v>46257</v>
      </c>
      <c r="D9" s="31" t="str">
        <f t="shared" si="2"/>
        <v>UK</v>
      </c>
      <c r="E9" s="3" t="s">
        <v>28</v>
      </c>
      <c r="F9" s="3" t="s">
        <v>29</v>
      </c>
      <c r="G9" s="31" t="str">
        <f t="shared" si="3"/>
        <v>Blender Ninja</v>
      </c>
      <c r="H9" s="34">
        <v>90</v>
      </c>
      <c r="I9" s="3">
        <v>35</v>
      </c>
      <c r="J9" s="3" t="s">
        <v>16</v>
      </c>
      <c r="L9" s="10" t="str">
        <f>IF(OR(ISBLANK(J2),J2=""),"Unknown",J2)</f>
        <v>Electronics</v>
      </c>
      <c r="M9" s="9" t="s">
        <v>98</v>
      </c>
    </row>
    <row r="10" spans="1:20" ht="15.75" customHeight="1">
      <c r="A10" s="2" t="s">
        <v>30</v>
      </c>
      <c r="B10" s="37" t="str">
        <f t="shared" si="0"/>
        <v>05-SEP</v>
      </c>
      <c r="C10" s="35">
        <f t="shared" si="1"/>
        <v>46270</v>
      </c>
      <c r="D10" s="31" t="str">
        <f t="shared" si="2"/>
        <v>UK</v>
      </c>
      <c r="E10" s="2" t="s">
        <v>31</v>
      </c>
      <c r="F10" s="2" t="s">
        <v>32</v>
      </c>
      <c r="G10" s="31" t="str">
        <f t="shared" si="3"/>
        <v>Tablet Apple</v>
      </c>
      <c r="H10" s="33">
        <v>500</v>
      </c>
      <c r="I10" s="2">
        <v>50</v>
      </c>
      <c r="J10" s="2" t="s">
        <v>8</v>
      </c>
    </row>
    <row r="11" spans="1:20" ht="15.75" customHeight="1">
      <c r="A11" s="3" t="s">
        <v>33</v>
      </c>
      <c r="B11" s="37" t="str">
        <f t="shared" si="0"/>
        <v>14-OCT</v>
      </c>
      <c r="C11" s="35">
        <f t="shared" si="1"/>
        <v>46309</v>
      </c>
      <c r="D11" s="31" t="str">
        <f t="shared" si="2"/>
        <v>UK</v>
      </c>
      <c r="E11" s="3" t="s">
        <v>34</v>
      </c>
      <c r="F11" s="3" t="s">
        <v>35</v>
      </c>
      <c r="G11" s="31" t="str">
        <f t="shared" si="3"/>
        <v>Hiking Boots Timberland</v>
      </c>
      <c r="H11" s="34">
        <v>130</v>
      </c>
      <c r="I11" s="3">
        <v>10</v>
      </c>
      <c r="J11" s="3" t="s">
        <v>36</v>
      </c>
    </row>
    <row r="12" spans="1:20" ht="15.75" customHeight="1">
      <c r="A12" s="2" t="s">
        <v>37</v>
      </c>
      <c r="B12" s="37" t="str">
        <f t="shared" si="0"/>
        <v>17-JUN</v>
      </c>
      <c r="C12" s="35">
        <f t="shared" si="1"/>
        <v>46190</v>
      </c>
      <c r="D12" s="31" t="str">
        <f t="shared" si="2"/>
        <v>IN</v>
      </c>
      <c r="E12" s="2" t="s">
        <v>38</v>
      </c>
      <c r="F12" s="2" t="s">
        <v>39</v>
      </c>
      <c r="G12" s="31" t="str">
        <f t="shared" si="3"/>
        <v>Laptop HP</v>
      </c>
      <c r="H12" s="33">
        <v>950</v>
      </c>
      <c r="I12" s="2">
        <v>25</v>
      </c>
      <c r="J12" s="2" t="s">
        <v>8</v>
      </c>
      <c r="L12" s="11" t="s">
        <v>101</v>
      </c>
      <c r="M12" s="12"/>
    </row>
    <row r="13" spans="1:20" ht="15.75" customHeight="1">
      <c r="A13" s="3" t="s">
        <v>40</v>
      </c>
      <c r="B13" s="37" t="str">
        <f t="shared" si="0"/>
        <v>25-NOV</v>
      </c>
      <c r="C13" s="35">
        <f t="shared" si="1"/>
        <v>46351</v>
      </c>
      <c r="D13" s="31" t="str">
        <f t="shared" si="2"/>
        <v>AU</v>
      </c>
      <c r="E13" s="3" t="s">
        <v>10</v>
      </c>
      <c r="F13" s="3" t="s">
        <v>26</v>
      </c>
      <c r="G13" s="31" t="str">
        <f t="shared" si="3"/>
        <v>Sneakers Adidas</v>
      </c>
      <c r="H13" s="34">
        <v>90</v>
      </c>
      <c r="I13" s="3">
        <v>40</v>
      </c>
      <c r="J13" s="3" t="s">
        <v>99</v>
      </c>
      <c r="L13" s="27" t="s">
        <v>102</v>
      </c>
      <c r="M13" s="28"/>
    </row>
    <row r="14" spans="1:20" ht="15.75" customHeight="1">
      <c r="A14" s="2" t="s">
        <v>41</v>
      </c>
      <c r="B14" s="37" t="str">
        <f t="shared" si="0"/>
        <v>08-DEC</v>
      </c>
      <c r="C14" s="35">
        <f t="shared" si="1"/>
        <v>46364</v>
      </c>
      <c r="D14" s="31" t="str">
        <f t="shared" si="2"/>
        <v>DE</v>
      </c>
      <c r="E14" s="2" t="s">
        <v>14</v>
      </c>
      <c r="F14" s="2" t="s">
        <v>42</v>
      </c>
      <c r="G14" s="31" t="str">
        <f t="shared" si="3"/>
        <v>Coffee Maker Nespresso</v>
      </c>
      <c r="H14" s="33">
        <v>120</v>
      </c>
      <c r="I14" s="2">
        <v>35</v>
      </c>
      <c r="J14" s="2" t="s">
        <v>99</v>
      </c>
      <c r="L14" s="27"/>
      <c r="M14" s="28"/>
    </row>
    <row r="15" spans="1:20" ht="15.75" customHeight="1">
      <c r="A15" s="3" t="s">
        <v>43</v>
      </c>
      <c r="B15" s="37" t="str">
        <f t="shared" si="0"/>
        <v>18-FEB</v>
      </c>
      <c r="C15" s="35">
        <f t="shared" si="1"/>
        <v>46071</v>
      </c>
      <c r="D15" s="31" t="str">
        <f t="shared" si="2"/>
        <v>CA</v>
      </c>
      <c r="E15" s="3" t="s">
        <v>44</v>
      </c>
      <c r="F15" s="3" t="s">
        <v>45</v>
      </c>
      <c r="G15" s="31" t="str">
        <f t="shared" si="3"/>
        <v>Smartwatch Fitbit</v>
      </c>
      <c r="H15" s="34">
        <v>150</v>
      </c>
      <c r="I15" s="3">
        <v>15</v>
      </c>
      <c r="J15" s="3" t="s">
        <v>8</v>
      </c>
      <c r="L15" s="15" t="str">
        <f>PROPER(TRIM(E2))</f>
        <v>Laptop</v>
      </c>
      <c r="M15" s="9" t="s">
        <v>103</v>
      </c>
    </row>
    <row r="16" spans="1:20" ht="15.75" customHeight="1">
      <c r="A16" s="2" t="s">
        <v>46</v>
      </c>
      <c r="B16" s="37" t="str">
        <f t="shared" si="0"/>
        <v>16-APR</v>
      </c>
      <c r="C16" s="35">
        <f t="shared" si="1"/>
        <v>46128</v>
      </c>
      <c r="D16" s="31" t="str">
        <f t="shared" si="2"/>
        <v>ES</v>
      </c>
      <c r="E16" s="2" t="s">
        <v>23</v>
      </c>
      <c r="F16" s="2" t="s">
        <v>47</v>
      </c>
      <c r="G16" s="31" t="str">
        <f t="shared" si="3"/>
        <v>Headphones Bose</v>
      </c>
      <c r="H16" s="33">
        <v>250</v>
      </c>
      <c r="I16" s="2">
        <v>20</v>
      </c>
      <c r="J16" s="2" t="s">
        <v>8</v>
      </c>
    </row>
    <row r="17" spans="1:13" ht="15.75" customHeight="1">
      <c r="A17" s="3" t="s">
        <v>48</v>
      </c>
      <c r="B17" s="37" t="str">
        <f t="shared" si="0"/>
        <v>21-AUG</v>
      </c>
      <c r="C17" s="35">
        <f t="shared" si="1"/>
        <v>46255</v>
      </c>
      <c r="D17" s="31" t="str">
        <f t="shared" si="2"/>
        <v>CA</v>
      </c>
      <c r="E17" s="3" t="s">
        <v>49</v>
      </c>
      <c r="F17" s="3" t="s">
        <v>50</v>
      </c>
      <c r="G17" s="31" t="str">
        <f t="shared" si="3"/>
        <v>Laptop Bag Samsonite</v>
      </c>
      <c r="H17" s="34">
        <v>50</v>
      </c>
      <c r="I17" s="3">
        <v>35</v>
      </c>
      <c r="J17" s="3" t="s">
        <v>51</v>
      </c>
      <c r="L17" s="29" t="s">
        <v>104</v>
      </c>
      <c r="M17" s="30"/>
    </row>
    <row r="18" spans="1:13" ht="15.75" customHeight="1">
      <c r="A18" s="2" t="s">
        <v>52</v>
      </c>
      <c r="B18" s="37" t="str">
        <f t="shared" si="0"/>
        <v>20-AUG</v>
      </c>
      <c r="C18" s="35">
        <f t="shared" si="1"/>
        <v>46254</v>
      </c>
      <c r="D18" s="31" t="str">
        <f t="shared" si="2"/>
        <v>CN</v>
      </c>
      <c r="E18" s="2" t="s">
        <v>44</v>
      </c>
      <c r="F18" s="2" t="s">
        <v>53</v>
      </c>
      <c r="G18" s="31" t="str">
        <f t="shared" si="3"/>
        <v>Smartwatch Huawei</v>
      </c>
      <c r="H18" s="33">
        <v>160</v>
      </c>
      <c r="I18" s="2">
        <v>15</v>
      </c>
      <c r="J18" s="2" t="s">
        <v>8</v>
      </c>
      <c r="L18" s="27"/>
      <c r="M18" s="28"/>
    </row>
    <row r="19" spans="1:13" ht="15.75" customHeight="1">
      <c r="A19" s="3" t="s">
        <v>54</v>
      </c>
      <c r="B19" s="37" t="str">
        <f t="shared" si="0"/>
        <v>27-JAN</v>
      </c>
      <c r="C19" s="35">
        <f t="shared" si="1"/>
        <v>46049</v>
      </c>
      <c r="D19" s="31" t="str">
        <f t="shared" si="2"/>
        <v>IT</v>
      </c>
      <c r="E19" s="3" t="s">
        <v>38</v>
      </c>
      <c r="F19" s="3" t="s">
        <v>55</v>
      </c>
      <c r="G19" s="31" t="str">
        <f t="shared" si="3"/>
        <v>Laptop Asus</v>
      </c>
      <c r="H19" s="34">
        <v>980</v>
      </c>
      <c r="I19" s="3">
        <v>10</v>
      </c>
      <c r="J19" s="3" t="s">
        <v>8</v>
      </c>
      <c r="L19" s="10" t="str">
        <f>PROPER(TRIM(J2))</f>
        <v>Electronics</v>
      </c>
      <c r="M19" s="23" t="s">
        <v>106</v>
      </c>
    </row>
    <row r="20" spans="1:13" ht="15.75" customHeight="1">
      <c r="A20" s="2" t="s">
        <v>56</v>
      </c>
      <c r="B20" s="37" t="str">
        <f t="shared" si="0"/>
        <v>01-MAR</v>
      </c>
      <c r="C20" s="35">
        <f t="shared" si="1"/>
        <v>46082</v>
      </c>
      <c r="D20" s="31" t="str">
        <f t="shared" si="2"/>
        <v>UK</v>
      </c>
      <c r="E20" s="2" t="s">
        <v>57</v>
      </c>
      <c r="F20" s="2" t="s">
        <v>58</v>
      </c>
      <c r="G20" s="31" t="str">
        <f t="shared" si="3"/>
        <v>Sunglasses Oakley</v>
      </c>
      <c r="H20" s="33">
        <v>150</v>
      </c>
      <c r="I20" s="2">
        <v>15</v>
      </c>
      <c r="J20" s="2" t="s">
        <v>12</v>
      </c>
    </row>
    <row r="21" spans="1:13" ht="15.75" customHeight="1">
      <c r="A21" s="3" t="s">
        <v>59</v>
      </c>
      <c r="B21" s="37" t="str">
        <f t="shared" si="0"/>
        <v>14-AUG</v>
      </c>
      <c r="C21" s="35">
        <f t="shared" si="1"/>
        <v>46248</v>
      </c>
      <c r="D21" s="31" t="str">
        <f t="shared" si="2"/>
        <v>US</v>
      </c>
      <c r="E21" s="3" t="s">
        <v>60</v>
      </c>
      <c r="F21" s="3" t="s">
        <v>61</v>
      </c>
      <c r="G21" s="31" t="str">
        <f t="shared" si="3"/>
        <v>Camping Tent Coleman</v>
      </c>
      <c r="H21" s="34">
        <v>290.66820276497697</v>
      </c>
      <c r="I21" s="3">
        <v>10</v>
      </c>
      <c r="J21" s="3" t="s">
        <v>36</v>
      </c>
      <c r="L21" s="29" t="s">
        <v>107</v>
      </c>
      <c r="M21" s="30"/>
    </row>
    <row r="22" spans="1:13" ht="15.75" customHeight="1">
      <c r="A22" s="2" t="s">
        <v>62</v>
      </c>
      <c r="B22" s="37" t="str">
        <f t="shared" si="0"/>
        <v>14-MAY</v>
      </c>
      <c r="C22" s="35">
        <f t="shared" si="1"/>
        <v>46156</v>
      </c>
      <c r="D22" s="31" t="str">
        <f t="shared" si="2"/>
        <v>RU</v>
      </c>
      <c r="E22" s="2" t="s">
        <v>63</v>
      </c>
      <c r="F22" s="2" t="s">
        <v>64</v>
      </c>
      <c r="G22" s="31" t="str">
        <f t="shared" si="3"/>
        <v>Camera Nikon</v>
      </c>
      <c r="H22" s="33">
        <v>700</v>
      </c>
      <c r="I22" s="2">
        <v>50</v>
      </c>
      <c r="J22" s="2" t="s">
        <v>8</v>
      </c>
      <c r="L22" s="27"/>
      <c r="M22" s="28"/>
    </row>
    <row r="23" spans="1:13" ht="15.75" customHeight="1">
      <c r="A23" s="3" t="s">
        <v>65</v>
      </c>
      <c r="B23" s="37" t="str">
        <f t="shared" si="0"/>
        <v>09-JAN</v>
      </c>
      <c r="C23" s="35">
        <f t="shared" si="1"/>
        <v>46031</v>
      </c>
      <c r="D23" s="31" t="str">
        <f t="shared" si="2"/>
        <v>CA</v>
      </c>
      <c r="E23" s="3" t="s">
        <v>66</v>
      </c>
      <c r="F23" s="3" t="s">
        <v>67</v>
      </c>
      <c r="G23" s="31" t="str">
        <f t="shared" si="3"/>
        <v>Microwave Panasonic</v>
      </c>
      <c r="H23" s="34">
        <v>80</v>
      </c>
      <c r="I23" s="3">
        <v>20</v>
      </c>
      <c r="J23" s="3" t="s">
        <v>16</v>
      </c>
      <c r="L23" s="10" t="s">
        <v>108</v>
      </c>
      <c r="M23" s="23" t="s">
        <v>108</v>
      </c>
    </row>
    <row r="24" spans="1:13" ht="15.75" customHeight="1">
      <c r="A24" s="2" t="s">
        <v>68</v>
      </c>
      <c r="B24" s="37" t="str">
        <f t="shared" si="0"/>
        <v>19-JUL</v>
      </c>
      <c r="C24" s="35">
        <f t="shared" si="1"/>
        <v>46222</v>
      </c>
      <c r="D24" s="31" t="str">
        <f t="shared" si="2"/>
        <v>BR</v>
      </c>
      <c r="E24" s="2" t="s">
        <v>69</v>
      </c>
      <c r="F24" s="2" t="s">
        <v>70</v>
      </c>
      <c r="G24" s="31" t="str">
        <f t="shared" si="3"/>
        <v>Fitness Tracker Xiaomi</v>
      </c>
      <c r="H24" s="33">
        <v>150</v>
      </c>
      <c r="I24" s="2">
        <v>30</v>
      </c>
      <c r="J24" s="2" t="s">
        <v>99</v>
      </c>
    </row>
    <row r="25" spans="1:13" ht="15.75" customHeight="1">
      <c r="A25" s="2" t="s">
        <v>71</v>
      </c>
      <c r="B25" s="37" t="str">
        <f t="shared" si="0"/>
        <v>29-SEP</v>
      </c>
      <c r="C25" s="35">
        <f t="shared" si="1"/>
        <v>46294</v>
      </c>
      <c r="D25" s="31" t="str">
        <f t="shared" si="2"/>
        <v>CA</v>
      </c>
      <c r="E25" s="2" t="s">
        <v>72</v>
      </c>
      <c r="F25" s="2" t="s">
        <v>73</v>
      </c>
      <c r="G25" s="31" t="str">
        <f t="shared" si="3"/>
        <v>Smartphone Google</v>
      </c>
      <c r="H25" s="33">
        <v>800</v>
      </c>
      <c r="I25" s="2">
        <v>45</v>
      </c>
      <c r="J25" s="2" t="s">
        <v>8</v>
      </c>
    </row>
    <row r="26" spans="1:13" ht="15.75" customHeight="1">
      <c r="A26" s="3" t="s">
        <v>74</v>
      </c>
      <c r="B26" s="37" t="str">
        <f t="shared" si="0"/>
        <v>03-JUN</v>
      </c>
      <c r="C26" s="35">
        <f t="shared" si="1"/>
        <v>46176</v>
      </c>
      <c r="D26" s="31" t="str">
        <f t="shared" si="2"/>
        <v>CA</v>
      </c>
      <c r="E26" s="3" t="s">
        <v>57</v>
      </c>
      <c r="F26" s="3" t="s">
        <v>75</v>
      </c>
      <c r="G26" s="31" t="str">
        <f t="shared" si="3"/>
        <v>Sunglasses Ray-Ban</v>
      </c>
      <c r="H26" s="34">
        <v>254.37275985663084</v>
      </c>
      <c r="I26" s="3">
        <v>25</v>
      </c>
      <c r="J26" s="3" t="s">
        <v>12</v>
      </c>
      <c r="L26" s="11" t="s">
        <v>109</v>
      </c>
      <c r="M26" s="12"/>
    </row>
    <row r="27" spans="1:13" ht="15.75" customHeight="1">
      <c r="A27" s="2" t="s">
        <v>76</v>
      </c>
      <c r="B27" s="37" t="str">
        <f t="shared" si="0"/>
        <v>11-JUL</v>
      </c>
      <c r="C27" s="35">
        <f t="shared" si="1"/>
        <v>46214</v>
      </c>
      <c r="D27" s="31" t="str">
        <f t="shared" si="2"/>
        <v>CA</v>
      </c>
      <c r="E27" s="2" t="s">
        <v>28</v>
      </c>
      <c r="F27" s="2" t="s">
        <v>77</v>
      </c>
      <c r="G27" s="31" t="str">
        <f t="shared" si="3"/>
        <v>Blender Vitamix</v>
      </c>
      <c r="H27" s="33">
        <v>400</v>
      </c>
      <c r="I27" s="2">
        <v>40</v>
      </c>
      <c r="J27" s="2" t="s">
        <v>16</v>
      </c>
      <c r="L27" s="18" t="s">
        <v>110</v>
      </c>
      <c r="M27" s="19"/>
    </row>
    <row r="28" spans="1:13" ht="15.75" customHeight="1">
      <c r="A28" s="2" t="s">
        <v>78</v>
      </c>
      <c r="B28" s="37" t="str">
        <f t="shared" si="0"/>
        <v>07-MAR</v>
      </c>
      <c r="C28" s="35">
        <f t="shared" si="1"/>
        <v>46088</v>
      </c>
      <c r="D28" s="31" t="str">
        <f t="shared" si="2"/>
        <v>CA</v>
      </c>
      <c r="E28" s="2" t="s">
        <v>79</v>
      </c>
      <c r="F28" s="2" t="s">
        <v>80</v>
      </c>
      <c r="G28" s="31" t="str">
        <f t="shared" si="3"/>
        <v>Dress Zara</v>
      </c>
      <c r="H28" s="33">
        <v>60</v>
      </c>
      <c r="I28" s="2">
        <v>30</v>
      </c>
      <c r="J28" s="2" t="s">
        <v>12</v>
      </c>
      <c r="L28" s="8"/>
      <c r="M28" s="20" t="s">
        <v>111</v>
      </c>
    </row>
    <row r="29" spans="1:13" ht="15.75" customHeight="1">
      <c r="A29" s="3" t="s">
        <v>81</v>
      </c>
      <c r="B29" s="37" t="str">
        <f t="shared" si="0"/>
        <v>13-APR</v>
      </c>
      <c r="C29" s="35">
        <f t="shared" si="1"/>
        <v>46125</v>
      </c>
      <c r="D29" s="31" t="str">
        <f t="shared" si="2"/>
        <v>CA</v>
      </c>
      <c r="E29" s="3" t="s">
        <v>82</v>
      </c>
      <c r="F29" s="3" t="s">
        <v>83</v>
      </c>
      <c r="G29" s="31" t="str">
        <f t="shared" si="3"/>
        <v>Toaster Hamilton</v>
      </c>
      <c r="H29" s="34">
        <v>40</v>
      </c>
      <c r="I29" s="3">
        <v>10</v>
      </c>
      <c r="J29" s="3" t="s">
        <v>16</v>
      </c>
    </row>
    <row r="30" spans="1:13" ht="15.75" customHeight="1">
      <c r="A30" s="2" t="s">
        <v>84</v>
      </c>
      <c r="B30" s="37" t="str">
        <f t="shared" si="0"/>
        <v>24-MAY</v>
      </c>
      <c r="C30" s="35">
        <f t="shared" si="1"/>
        <v>46166</v>
      </c>
      <c r="D30" s="31" t="str">
        <f t="shared" si="2"/>
        <v>CA</v>
      </c>
      <c r="E30" s="2" t="s">
        <v>69</v>
      </c>
      <c r="F30" s="2" t="s">
        <v>85</v>
      </c>
      <c r="G30" s="31" t="str">
        <f t="shared" si="3"/>
        <v>Fitness Tracker Garmin</v>
      </c>
      <c r="H30" s="33">
        <v>130</v>
      </c>
      <c r="I30" s="2">
        <v>5</v>
      </c>
      <c r="J30" s="2" t="s">
        <v>8</v>
      </c>
    </row>
    <row r="31" spans="1:13" ht="15.75" customHeight="1">
      <c r="A31" s="3" t="s">
        <v>86</v>
      </c>
      <c r="B31" s="37" t="str">
        <f t="shared" si="0"/>
        <v>02-DEC</v>
      </c>
      <c r="C31" s="35">
        <f t="shared" si="1"/>
        <v>46358</v>
      </c>
      <c r="D31" s="31" t="str">
        <f t="shared" si="2"/>
        <v>CA</v>
      </c>
      <c r="E31" s="3" t="s">
        <v>87</v>
      </c>
      <c r="F31" s="3" t="s">
        <v>88</v>
      </c>
      <c r="G31" s="31" t="str">
        <f t="shared" si="3"/>
        <v>Jeans Levi's</v>
      </c>
      <c r="H31" s="34">
        <v>50</v>
      </c>
      <c r="I31" s="3">
        <v>50</v>
      </c>
      <c r="J31" s="3" t="s">
        <v>12</v>
      </c>
      <c r="L31" s="11" t="s">
        <v>112</v>
      </c>
      <c r="M31" s="12"/>
    </row>
    <row r="32" spans="1:13" ht="15.75" customHeight="1">
      <c r="A32" s="3" t="s">
        <v>89</v>
      </c>
      <c r="B32" s="37" t="str">
        <f t="shared" si="0"/>
        <v>09-JUL</v>
      </c>
      <c r="C32" s="35">
        <f t="shared" si="1"/>
        <v>46212</v>
      </c>
      <c r="D32" s="31" t="str">
        <f t="shared" si="2"/>
        <v>FR</v>
      </c>
      <c r="E32" s="3" t="s">
        <v>90</v>
      </c>
      <c r="F32" s="3" t="s">
        <v>91</v>
      </c>
      <c r="G32" s="31" t="str">
        <f t="shared" si="3"/>
        <v>Watch Casio</v>
      </c>
      <c r="H32" s="34">
        <v>100</v>
      </c>
      <c r="I32" s="3">
        <v>20</v>
      </c>
      <c r="J32" s="3" t="s">
        <v>51</v>
      </c>
      <c r="L32" s="45" t="s">
        <v>113</v>
      </c>
      <c r="M32" s="46"/>
    </row>
    <row r="33" spans="8:13" ht="15.75" customHeight="1">
      <c r="L33" s="45"/>
      <c r="M33" s="46"/>
    </row>
    <row r="34" spans="8:13" ht="15.75" customHeight="1">
      <c r="L34" s="6" t="s">
        <v>114</v>
      </c>
      <c r="M34" s="7"/>
    </row>
    <row r="35" spans="8:13" ht="15.75" customHeight="1">
      <c r="L35" s="22" t="str">
        <f>LEFT(A2,6)</f>
        <v>28-JAN</v>
      </c>
      <c r="M35" s="47" t="s">
        <v>115</v>
      </c>
    </row>
    <row r="36" spans="8:13" ht="15.75" customHeight="1">
      <c r="H36">
        <f>AVERAGE(H2:H35)</f>
        <v>295.83687076402992</v>
      </c>
      <c r="L36" s="6" t="s">
        <v>116</v>
      </c>
      <c r="M36" s="7"/>
    </row>
    <row r="37" spans="8:13" ht="15.75" customHeight="1">
      <c r="L37" s="10" t="str">
        <f>RIGHT(A2,2)</f>
        <v>US</v>
      </c>
      <c r="M37" s="9" t="s">
        <v>94</v>
      </c>
    </row>
    <row r="38" spans="8:13" ht="15.75" customHeight="1"/>
    <row r="39" spans="8:13" ht="15.75" customHeight="1">
      <c r="L39" s="31"/>
      <c r="M39" s="31"/>
    </row>
    <row r="40" spans="8:13" ht="15.75" customHeight="1">
      <c r="L40" s="48" t="s">
        <v>117</v>
      </c>
      <c r="M40" s="49"/>
    </row>
    <row r="41" spans="8:13" ht="15.75" customHeight="1">
      <c r="L41" s="6" t="s">
        <v>118</v>
      </c>
      <c r="M41" s="7"/>
    </row>
    <row r="42" spans="8:13" ht="15.75" customHeight="1">
      <c r="L42" s="16" t="str">
        <f>E2&amp;" "&amp;F2</f>
        <v>Laptop Dell</v>
      </c>
      <c r="M42" s="9" t="s">
        <v>119</v>
      </c>
    </row>
    <row r="43" spans="8:13" ht="15.75" customHeight="1"/>
    <row r="44" spans="8:13" ht="15.75" customHeight="1">
      <c r="L44" s="11" t="s">
        <v>120</v>
      </c>
      <c r="M44" s="12"/>
    </row>
    <row r="45" spans="8:13" ht="15.75" customHeight="1">
      <c r="L45" s="13" t="s">
        <v>121</v>
      </c>
      <c r="M45" s="14"/>
    </row>
    <row r="46" spans="8:13" ht="15.75" customHeight="1">
      <c r="L46" s="16" t="s">
        <v>122</v>
      </c>
      <c r="M46" s="9" t="s">
        <v>123</v>
      </c>
    </row>
    <row r="47" spans="8:13" ht="15.75" customHeight="1">
      <c r="L47" s="54"/>
      <c r="M47" s="54"/>
    </row>
    <row r="48" spans="8:13" ht="15.75" customHeight="1">
      <c r="L48" s="48" t="s">
        <v>124</v>
      </c>
      <c r="M48" s="49"/>
    </row>
    <row r="49" spans="12:13" ht="15.75" customHeight="1">
      <c r="L49" s="50">
        <f>DATEVALUE(B2&amp;"-2026")</f>
        <v>46050</v>
      </c>
      <c r="M49" s="51" t="s">
        <v>125</v>
      </c>
    </row>
    <row r="50" spans="12:13" ht="15.75" customHeight="1">
      <c r="L50" s="16" t="s">
        <v>126</v>
      </c>
      <c r="M50" s="17"/>
    </row>
    <row r="51" spans="12:13" ht="15.75" customHeight="1"/>
    <row r="52" spans="12:13" ht="15.75" customHeight="1">
      <c r="L52" s="11" t="s">
        <v>127</v>
      </c>
      <c r="M52" s="12"/>
    </row>
    <row r="53" spans="12:13" ht="15.75" customHeight="1">
      <c r="L53" s="52" t="s">
        <v>128</v>
      </c>
      <c r="M53" s="53"/>
    </row>
    <row r="54" spans="12:13" ht="15.75" customHeight="1">
      <c r="L54" s="52"/>
      <c r="M54" s="53"/>
    </row>
    <row r="55" spans="12:13" ht="15.75" customHeight="1">
      <c r="L55" s="21"/>
      <c r="M55" s="47" t="s">
        <v>129</v>
      </c>
    </row>
    <row r="56" spans="12:13" ht="15.75" customHeight="1">
      <c r="L56" s="10"/>
      <c r="M56" s="9" t="s">
        <v>130</v>
      </c>
    </row>
    <row r="57" spans="12:13" ht="15.75" customHeight="1"/>
    <row r="58" spans="12:13" ht="15.75" customHeight="1"/>
    <row r="59" spans="12:13" ht="15.75" customHeight="1"/>
    <row r="60" spans="12:13" ht="15.75" customHeight="1"/>
    <row r="61" spans="12:13" ht="15.75" customHeight="1"/>
    <row r="62" spans="12:13" ht="15.75" customHeight="1"/>
    <row r="63" spans="12:13" ht="15.75" customHeight="1"/>
    <row r="64" spans="12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L53:M54"/>
    <mergeCell ref="L40:M40"/>
    <mergeCell ref="L44:M44"/>
    <mergeCell ref="L45:M45"/>
    <mergeCell ref="L48:M48"/>
    <mergeCell ref="L52:M52"/>
    <mergeCell ref="L31:M31"/>
    <mergeCell ref="L7:M8"/>
    <mergeCell ref="L3:M4"/>
    <mergeCell ref="L13:M14"/>
    <mergeCell ref="L17:M18"/>
    <mergeCell ref="L21:M22"/>
    <mergeCell ref="L26:M26"/>
    <mergeCell ref="L27:M27"/>
    <mergeCell ref="L32:M33"/>
    <mergeCell ref="L2:M2"/>
    <mergeCell ref="L12:M12"/>
  </mergeCells>
  <conditionalFormatting sqref="H2:H3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{9414CBAA-CD9C-4674-A420-3BD13DAAAE81}</x14:id>
        </ext>
      </extLst>
    </cfRule>
  </conditionalFormatting>
  <conditionalFormatting sqref="J2:J32">
    <cfRule type="cellIs" dxfId="1" priority="1" operator="equal">
      <formula>"Electronics"</formula>
    </cfRule>
    <cfRule type="expression" dxfId="0" priority="2">
      <formula>G2="Electronics"</formula>
    </cfRule>
    <cfRule type="colorScale" priority="3">
      <colorScale>
        <cfvo type="min"/>
        <cfvo type="max"/>
        <color rgb="FFFF7128"/>
        <color rgb="FFFFEF9C"/>
      </colorScale>
    </cfRule>
  </conditionalFormatting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14CBAA-CD9C-4674-A420-3BD13DAAAE8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H2:H32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2026-07-23T14:43:37Z</dcterms:created>
  <dcterms:modified xsi:type="dcterms:W3CDTF">2026-09-30T18:08:13Z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